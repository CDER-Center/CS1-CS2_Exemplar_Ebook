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PU 2026\EduPar Documents\Anonymized Data\"/>
    </mc:Choice>
  </mc:AlternateContent>
  <xr:revisionPtr revIDLastSave="0" documentId="8_{BD8BBFEF-7589-4D1D-931C-C946E1B12031}" xr6:coauthVersionLast="47" xr6:coauthVersionMax="47" xr10:uidLastSave="{00000000-0000-0000-0000-000000000000}"/>
  <bookViews>
    <workbookView xWindow="-110" yWindow="-110" windowWidth="25820" windowHeight="15500" activeTab="2" xr2:uid="{A4810848-E81C-4BB0-8CBE-ECC8D4861F74}"/>
  </bookViews>
  <sheets>
    <sheet name="2024" sheetId="1" r:id="rId1"/>
    <sheet name="2025" sheetId="2" r:id="rId2"/>
    <sheet name="202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2" i="3" l="1"/>
  <c r="N22" i="3"/>
  <c r="G22" i="3"/>
  <c r="F22" i="3"/>
  <c r="O19" i="3"/>
  <c r="N19" i="3"/>
  <c r="M19" i="3"/>
  <c r="M22" i="3" s="1"/>
  <c r="L19" i="3"/>
  <c r="L22" i="3" s="1"/>
  <c r="K19" i="3"/>
  <c r="K22" i="3" s="1"/>
  <c r="J19" i="3"/>
  <c r="I19" i="3"/>
  <c r="I22" i="3" s="1"/>
  <c r="H19" i="3"/>
  <c r="H22" i="3" s="1"/>
  <c r="G19" i="3"/>
  <c r="F19" i="3"/>
  <c r="E19" i="3"/>
  <c r="E22" i="3" s="1"/>
  <c r="D19" i="3"/>
  <c r="D22" i="3" s="1"/>
  <c r="C19" i="3"/>
  <c r="C22" i="3" s="1"/>
  <c r="B19" i="3"/>
  <c r="O10" i="3"/>
  <c r="N10" i="3"/>
  <c r="M10" i="3"/>
  <c r="L10" i="3"/>
  <c r="K10" i="3"/>
  <c r="J10" i="3"/>
  <c r="J22" i="3" s="1"/>
  <c r="I10" i="3"/>
  <c r="H10" i="3"/>
  <c r="G10" i="3"/>
  <c r="F10" i="3"/>
  <c r="E10" i="3"/>
  <c r="D10" i="3"/>
  <c r="C10" i="3"/>
  <c r="B10" i="3"/>
  <c r="B22" i="3" s="1"/>
  <c r="O16" i="2"/>
  <c r="O18" i="2" s="1"/>
  <c r="N16" i="2"/>
  <c r="M16" i="2"/>
  <c r="L16" i="2"/>
  <c r="K16" i="2"/>
  <c r="J16" i="2"/>
  <c r="I16" i="2"/>
  <c r="H16" i="2"/>
  <c r="G16" i="2"/>
  <c r="G18" i="2" s="1"/>
  <c r="F16" i="2"/>
  <c r="E16" i="2"/>
  <c r="E18" i="2" s="1"/>
  <c r="D16" i="2"/>
  <c r="D18" i="2" s="1"/>
  <c r="C16" i="2"/>
  <c r="C18" i="2" s="1"/>
  <c r="B16" i="2"/>
  <c r="O8" i="2"/>
  <c r="N8" i="2"/>
  <c r="M8" i="2"/>
  <c r="L8" i="2"/>
  <c r="K8" i="2"/>
  <c r="J8" i="2"/>
  <c r="J18" i="2" s="1"/>
  <c r="I8" i="2"/>
  <c r="H8" i="2"/>
  <c r="G8" i="2"/>
  <c r="F8" i="2"/>
  <c r="E8" i="2"/>
  <c r="D8" i="2"/>
  <c r="C8" i="2"/>
  <c r="B8" i="2"/>
  <c r="B18" i="2" s="1"/>
  <c r="N20" i="1"/>
  <c r="M20" i="1"/>
  <c r="L20" i="1"/>
  <c r="D20" i="1"/>
  <c r="N18" i="1"/>
  <c r="M18" i="1"/>
  <c r="L18" i="1"/>
  <c r="K18" i="1"/>
  <c r="K20" i="1" s="1"/>
  <c r="J18" i="1"/>
  <c r="J20" i="1" s="1"/>
  <c r="I18" i="1"/>
  <c r="I20" i="1" s="1"/>
  <c r="H18" i="1"/>
  <c r="H20" i="1" s="1"/>
  <c r="G18" i="1"/>
  <c r="G20" i="1" s="1"/>
  <c r="F18" i="1"/>
  <c r="E18" i="1"/>
  <c r="D18" i="1"/>
  <c r="C18" i="1"/>
  <c r="C20" i="1" s="1"/>
  <c r="B18" i="1"/>
  <c r="B20" i="1" s="1"/>
  <c r="M9" i="1"/>
  <c r="L9" i="1"/>
  <c r="K9" i="1"/>
  <c r="J9" i="1"/>
  <c r="I9" i="1"/>
  <c r="H9" i="1"/>
  <c r="G9" i="1"/>
  <c r="F9" i="1"/>
  <c r="F20" i="1" s="1"/>
  <c r="E9" i="1"/>
  <c r="E20" i="1" s="1"/>
  <c r="D9" i="1"/>
  <c r="C9" i="1"/>
  <c r="B9" i="1"/>
  <c r="K18" i="2" l="1"/>
  <c r="L18" i="2"/>
  <c r="M18" i="2"/>
  <c r="F18" i="2"/>
  <c r="N18" i="2"/>
  <c r="H18" i="2"/>
  <c r="I18" i="2"/>
</calcChain>
</file>

<file path=xl/sharedStrings.xml><?xml version="1.0" encoding="utf-8"?>
<sst xmlns="http://schemas.openxmlformats.org/spreadsheetml/2006/main" count="100" uniqueCount="38">
  <si>
    <t>2024 Pre and Post Course Survey Data</t>
  </si>
  <si>
    <t>Pre</t>
  </si>
  <si>
    <t>Please rate your experience with the following programming languages: - Java</t>
  </si>
  <si>
    <t>Please rate your experience with using the following in your programs: - Data Types
(int, float, double, boolean, char)</t>
  </si>
  <si>
    <t>Please rate your experience with using the following in your programs: - Arithmetic Expressions &amp; Operators</t>
  </si>
  <si>
    <t>Please rate your experience with using the following in your programs: - Branching
(if/else, relational &amp; logical operators, relational expressions)</t>
  </si>
  <si>
    <t>Please rate your experience with using the following in your programs: - Loops
(while, for)</t>
  </si>
  <si>
    <t>Please rate your experience with using the following in your programs: - Calling functions/methods</t>
  </si>
  <si>
    <t>Please rate your experience with using the following in your programs: - Arrays</t>
  </si>
  <si>
    <t>Please rate your experience with using the following in your programs: - Writing static functions</t>
  </si>
  <si>
    <t>Please rate your experience with using the following in your programs: - Writing methods</t>
  </si>
  <si>
    <t>Please rate your experience with using the following in your programs: - Creating objects</t>
  </si>
  <si>
    <t>Rate your experience with the following: - Parallel processing: Computing where the operations within a program are being executed simultaneously (i.e., running on different cores of the processor at the same time)</t>
  </si>
  <si>
    <t>Rate your experience with the following: - Distributed computing: Computing with a program that runs on multiple computers or that runs using data from a different computer (i.e., an online service)</t>
  </si>
  <si>
    <t>Rate your experience with the following: - Event handling: Having a function that responds to an independent action (i.e., a mouse click)</t>
  </si>
  <si>
    <t>Mean</t>
  </si>
  <si>
    <t>Post</t>
  </si>
  <si>
    <t>Please rate your comfort level with Java:</t>
  </si>
  <si>
    <t>Rate your comfort level with the following: - Parallel processing: Computing where the operations within a program are being executed simultaneously (i.e., running on different cores of the processor at the same time)</t>
  </si>
  <si>
    <t>Rate your comfort level with the following: - Distributed computing: Computing with a program that runs on multiple computers or that runs using data from a different computer (i.e., an online service)</t>
  </si>
  <si>
    <t>Rate your comfort level with the following: - Event handling: Having a method that responds to an independent action (i.e., a mouse click)</t>
  </si>
  <si>
    <t>Difference</t>
  </si>
  <si>
    <t>2025 Pre and Post Course Survey Data</t>
  </si>
  <si>
    <t>Java</t>
  </si>
  <si>
    <t>Data Types
(int, float, double, boolean, char)</t>
  </si>
  <si>
    <t>Arithmetic Expressions &amp; Operators</t>
  </si>
  <si>
    <t>Branching
(if/else, relational &amp; logical operators, relational expressions)</t>
  </si>
  <si>
    <t>Loops
(while, for)</t>
  </si>
  <si>
    <t>Calling functions/methods</t>
  </si>
  <si>
    <t>Arrays</t>
  </si>
  <si>
    <t>Writing static functions</t>
  </si>
  <si>
    <t>Writing methods</t>
  </si>
  <si>
    <t xml:space="preserve">Writing classes
</t>
  </si>
  <si>
    <t>Creating objects</t>
  </si>
  <si>
    <t>Parallel processing:
Computing where the operations within a program are being executed simultaneously (i.e., running on different cores of the process or at the same time)</t>
  </si>
  <si>
    <t>Distributed computing:
Computing with a program that runs on multiple computers or that runs using data from a different computer (i.e., an online service)</t>
  </si>
  <si>
    <t>Event handling:
Having a function that responds to an independent action (i.e., a mouse click)</t>
  </si>
  <si>
    <t>2026 Pre and Post Course Survey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</si>
</sst>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1577-E4ED-488E-A62F-DF4D31BE18D8}">
  <dimension ref="A1:N20"/>
  <sheetViews>
    <sheetView zoomScale="117" zoomScaleNormal="117" workbookViewId="0">
      <selection activeCell="A9" activeCellId="2" sqref="A20 A18 A9"/>
    </sheetView>
  </sheetViews>
  <sheetFormatPr defaultRowHeight="14.5" x14ac:dyDescent="0.35"/>
  <cols>
    <col min="2" max="2" width="25.36328125" customWidth="1"/>
    <col min="3" max="3" width="27.26953125" customWidth="1"/>
    <col min="4" max="4" width="18.54296875" customWidth="1"/>
    <col min="5" max="5" width="18.90625" customWidth="1"/>
    <col min="6" max="6" width="19.7265625" customWidth="1"/>
    <col min="7" max="7" width="26.81640625" customWidth="1"/>
    <col min="8" max="8" width="25.36328125" customWidth="1"/>
    <col min="9" max="9" width="20.90625" customWidth="1"/>
    <col min="10" max="10" width="25.453125" customWidth="1"/>
    <col min="11" max="11" width="23.54296875" customWidth="1"/>
    <col min="12" max="12" width="25.08984375" customWidth="1"/>
    <col min="13" max="13" width="30.36328125" customWidth="1"/>
    <col min="14" max="14" width="37" customWidth="1"/>
  </cols>
  <sheetData>
    <row r="1" spans="1:14" ht="16" x14ac:dyDescent="0.4">
      <c r="A1" s="1" t="s">
        <v>0</v>
      </c>
    </row>
    <row r="2" spans="1:14" x14ac:dyDescent="0.35">
      <c r="A2" s="2" t="s">
        <v>1</v>
      </c>
    </row>
    <row r="3" spans="1:14" ht="130.5" x14ac:dyDescent="0.3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  <row r="4" spans="1:14" x14ac:dyDescent="0.35"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1</v>
      </c>
      <c r="I4">
        <v>2</v>
      </c>
      <c r="J4">
        <v>1</v>
      </c>
      <c r="K4">
        <v>3</v>
      </c>
      <c r="L4">
        <v>2</v>
      </c>
      <c r="M4">
        <v>2</v>
      </c>
      <c r="N4">
        <v>1</v>
      </c>
    </row>
    <row r="5" spans="1:14" x14ac:dyDescent="0.35">
      <c r="B5">
        <v>3</v>
      </c>
      <c r="C5">
        <v>4</v>
      </c>
      <c r="D5">
        <v>3</v>
      </c>
      <c r="E5">
        <v>4</v>
      </c>
      <c r="F5">
        <v>4</v>
      </c>
      <c r="G5">
        <v>3</v>
      </c>
      <c r="H5">
        <v>3</v>
      </c>
      <c r="I5">
        <v>2</v>
      </c>
      <c r="J5">
        <v>2</v>
      </c>
      <c r="K5">
        <v>3</v>
      </c>
      <c r="L5">
        <v>1</v>
      </c>
      <c r="M5">
        <v>1</v>
      </c>
      <c r="N5">
        <v>1</v>
      </c>
    </row>
    <row r="6" spans="1:14" x14ac:dyDescent="0.35">
      <c r="B6">
        <v>2</v>
      </c>
      <c r="C6">
        <v>4</v>
      </c>
      <c r="D6">
        <v>3</v>
      </c>
      <c r="E6">
        <v>2</v>
      </c>
      <c r="F6">
        <v>2</v>
      </c>
      <c r="G6">
        <v>3</v>
      </c>
      <c r="H6">
        <v>2</v>
      </c>
      <c r="I6">
        <v>1</v>
      </c>
      <c r="J6">
        <v>2</v>
      </c>
      <c r="K6">
        <v>1</v>
      </c>
      <c r="L6">
        <v>1</v>
      </c>
      <c r="M6">
        <v>1</v>
      </c>
      <c r="N6">
        <v>2</v>
      </c>
    </row>
    <row r="7" spans="1:14" x14ac:dyDescent="0.35">
      <c r="B7">
        <v>3</v>
      </c>
      <c r="C7">
        <v>5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>
        <v>3</v>
      </c>
      <c r="L7">
        <v>1</v>
      </c>
      <c r="M7">
        <v>4</v>
      </c>
      <c r="N7">
        <v>5</v>
      </c>
    </row>
    <row r="8" spans="1:14" x14ac:dyDescent="0.35">
      <c r="B8">
        <v>2</v>
      </c>
      <c r="C8">
        <v>2</v>
      </c>
      <c r="D8">
        <v>1</v>
      </c>
      <c r="E8">
        <v>2</v>
      </c>
      <c r="F8">
        <v>2</v>
      </c>
      <c r="G8">
        <v>2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5">
      <c r="A9" s="2" t="s">
        <v>15</v>
      </c>
      <c r="B9">
        <f>AVERAGE(B4:B8)</f>
        <v>2.4</v>
      </c>
      <c r="C9">
        <f t="shared" ref="C9:M9" si="0">AVERAGE(C4:C8)</f>
        <v>3.4</v>
      </c>
      <c r="D9">
        <f t="shared" si="0"/>
        <v>3</v>
      </c>
      <c r="E9">
        <f t="shared" si="0"/>
        <v>3</v>
      </c>
      <c r="F9">
        <f t="shared" si="0"/>
        <v>3</v>
      </c>
      <c r="G9">
        <f t="shared" si="0"/>
        <v>3</v>
      </c>
      <c r="H9">
        <f t="shared" si="0"/>
        <v>2.4</v>
      </c>
      <c r="I9">
        <f t="shared" si="0"/>
        <v>2.2000000000000002</v>
      </c>
      <c r="J9">
        <f t="shared" si="0"/>
        <v>2.2000000000000002</v>
      </c>
      <c r="K9">
        <f t="shared" si="0"/>
        <v>2.2000000000000002</v>
      </c>
      <c r="L9">
        <f t="shared" si="0"/>
        <v>1.2</v>
      </c>
      <c r="M9">
        <f t="shared" si="0"/>
        <v>1.8</v>
      </c>
    </row>
    <row r="11" spans="1:14" x14ac:dyDescent="0.35">
      <c r="A11" s="2" t="s">
        <v>16</v>
      </c>
    </row>
    <row r="12" spans="1:14" ht="130.5" x14ac:dyDescent="0.35">
      <c r="B12" s="3" t="s">
        <v>17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  <c r="L12" s="3" t="s">
        <v>18</v>
      </c>
      <c r="M12" s="3" t="s">
        <v>19</v>
      </c>
      <c r="N12" s="3" t="s">
        <v>20</v>
      </c>
    </row>
    <row r="13" spans="1:14" x14ac:dyDescent="0.35">
      <c r="B13">
        <v>3</v>
      </c>
      <c r="C13">
        <v>4</v>
      </c>
      <c r="D13">
        <v>5</v>
      </c>
      <c r="E13">
        <v>4</v>
      </c>
      <c r="F13">
        <v>4</v>
      </c>
      <c r="G13">
        <v>5</v>
      </c>
      <c r="H13">
        <v>4</v>
      </c>
      <c r="I13">
        <v>4</v>
      </c>
      <c r="J13">
        <v>5</v>
      </c>
      <c r="K13">
        <v>5</v>
      </c>
      <c r="L13">
        <v>1</v>
      </c>
      <c r="M13">
        <v>1</v>
      </c>
      <c r="N13">
        <v>1</v>
      </c>
    </row>
    <row r="14" spans="1:14" x14ac:dyDescent="0.35"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</row>
    <row r="15" spans="1:14" x14ac:dyDescent="0.35">
      <c r="B15">
        <v>2</v>
      </c>
      <c r="C15">
        <v>3</v>
      </c>
      <c r="D15">
        <v>3</v>
      </c>
      <c r="E15">
        <v>3</v>
      </c>
      <c r="F15">
        <v>3</v>
      </c>
      <c r="G15">
        <v>4</v>
      </c>
      <c r="H15">
        <v>2</v>
      </c>
      <c r="I15">
        <v>4</v>
      </c>
      <c r="J15">
        <v>4</v>
      </c>
      <c r="K15">
        <v>4</v>
      </c>
      <c r="L15">
        <v>2</v>
      </c>
      <c r="M15">
        <v>2</v>
      </c>
      <c r="N15">
        <v>2</v>
      </c>
    </row>
    <row r="16" spans="1:14" x14ac:dyDescent="0.35"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1</v>
      </c>
      <c r="M16">
        <v>1</v>
      </c>
      <c r="N16">
        <v>1</v>
      </c>
    </row>
    <row r="17" spans="1:14" x14ac:dyDescent="0.35">
      <c r="B17">
        <v>4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1</v>
      </c>
      <c r="M17">
        <v>1</v>
      </c>
      <c r="N17">
        <v>3</v>
      </c>
    </row>
    <row r="18" spans="1:14" x14ac:dyDescent="0.35">
      <c r="A18" s="2" t="s">
        <v>15</v>
      </c>
      <c r="B18">
        <f>AVERAGE(B13:B17)</f>
        <v>3.2</v>
      </c>
      <c r="C18">
        <f t="shared" ref="C18:N18" si="1">AVERAGE(C13:C17)</f>
        <v>3.8</v>
      </c>
      <c r="D18">
        <f t="shared" si="1"/>
        <v>4</v>
      </c>
      <c r="E18">
        <f t="shared" si="1"/>
        <v>3.8</v>
      </c>
      <c r="F18">
        <f t="shared" si="1"/>
        <v>3.8</v>
      </c>
      <c r="G18">
        <f t="shared" si="1"/>
        <v>4.2</v>
      </c>
      <c r="H18">
        <f t="shared" si="1"/>
        <v>3.6</v>
      </c>
      <c r="I18">
        <f t="shared" si="1"/>
        <v>4</v>
      </c>
      <c r="J18">
        <f t="shared" si="1"/>
        <v>4.2</v>
      </c>
      <c r="K18">
        <f t="shared" si="1"/>
        <v>4.2</v>
      </c>
      <c r="L18">
        <f t="shared" si="1"/>
        <v>1.8</v>
      </c>
      <c r="M18">
        <f t="shared" si="1"/>
        <v>1.8</v>
      </c>
      <c r="N18">
        <f t="shared" si="1"/>
        <v>2.2000000000000002</v>
      </c>
    </row>
    <row r="20" spans="1:14" x14ac:dyDescent="0.35">
      <c r="A20" s="2" t="s">
        <v>21</v>
      </c>
      <c r="B20">
        <f>B18-B9</f>
        <v>0.80000000000000027</v>
      </c>
      <c r="C20">
        <f>C18-C9</f>
        <v>0.39999999999999991</v>
      </c>
      <c r="D20">
        <f>D18-D9</f>
        <v>1</v>
      </c>
      <c r="E20">
        <f>E18-E9</f>
        <v>0.79999999999999982</v>
      </c>
      <c r="F20">
        <f>F18-F9</f>
        <v>0.79999999999999982</v>
      </c>
      <c r="G20">
        <f>G18-G9</f>
        <v>1.2000000000000002</v>
      </c>
      <c r="H20">
        <f>H18-H9</f>
        <v>1.2000000000000002</v>
      </c>
      <c r="I20">
        <f>I18-I9</f>
        <v>1.7999999999999998</v>
      </c>
      <c r="J20">
        <f>J18-J9</f>
        <v>2</v>
      </c>
      <c r="K20">
        <f>K18-K9</f>
        <v>2</v>
      </c>
      <c r="L20">
        <f>L18-L9</f>
        <v>0.60000000000000009</v>
      </c>
      <c r="M20">
        <f>M18-M9</f>
        <v>0</v>
      </c>
      <c r="N20">
        <f>N18-N9</f>
        <v>2.2000000000000002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450BF-23A9-4AD6-A269-56F86DC0A15B}">
  <dimension ref="A1:O18"/>
  <sheetViews>
    <sheetView workbookViewId="0">
      <selection activeCell="A18" sqref="A18"/>
    </sheetView>
  </sheetViews>
  <sheetFormatPr defaultRowHeight="14.5" x14ac:dyDescent="0.35"/>
  <cols>
    <col min="1" max="1" width="11.54296875" customWidth="1"/>
    <col min="2" max="2" width="18.54296875" customWidth="1"/>
    <col min="3" max="3" width="14.1796875" customWidth="1"/>
    <col min="4" max="4" width="12.453125" customWidth="1"/>
    <col min="5" max="5" width="13.6328125" customWidth="1"/>
    <col min="6" max="6" width="10.453125" customWidth="1"/>
    <col min="7" max="7" width="11.54296875" customWidth="1"/>
    <col min="8" max="8" width="11.6328125" customWidth="1"/>
    <col min="9" max="9" width="12.26953125" customWidth="1"/>
    <col min="10" max="10" width="17.7265625" customWidth="1"/>
    <col min="11" max="11" width="21" customWidth="1"/>
    <col min="12" max="12" width="21.26953125" customWidth="1"/>
    <col min="13" max="13" width="24.6328125" customWidth="1"/>
    <col min="14" max="14" width="36.54296875" customWidth="1"/>
    <col min="15" max="15" width="25.1796875" customWidth="1"/>
  </cols>
  <sheetData>
    <row r="1" spans="1:15" ht="16" x14ac:dyDescent="0.4">
      <c r="A1" s="1" t="s">
        <v>22</v>
      </c>
    </row>
    <row r="2" spans="1:15" x14ac:dyDescent="0.35">
      <c r="A2" s="2" t="s">
        <v>1</v>
      </c>
    </row>
    <row r="3" spans="1:15" ht="101.5" x14ac:dyDescent="0.35">
      <c r="B3" t="s">
        <v>23</v>
      </c>
      <c r="C3" s="3" t="s">
        <v>24</v>
      </c>
      <c r="D3" t="s">
        <v>25</v>
      </c>
      <c r="E3" s="3" t="s">
        <v>26</v>
      </c>
      <c r="F3" s="3" t="s">
        <v>27</v>
      </c>
      <c r="G3" t="s">
        <v>28</v>
      </c>
      <c r="H3" t="s">
        <v>29</v>
      </c>
      <c r="I3" t="s">
        <v>30</v>
      </c>
      <c r="J3" t="s">
        <v>31</v>
      </c>
      <c r="K3" s="3" t="s">
        <v>32</v>
      </c>
      <c r="L3" t="s">
        <v>33</v>
      </c>
      <c r="M3" s="3" t="s">
        <v>34</v>
      </c>
      <c r="N3" s="3" t="s">
        <v>35</v>
      </c>
      <c r="O3" s="3" t="s">
        <v>36</v>
      </c>
    </row>
    <row r="4" spans="1:15" x14ac:dyDescent="0.35">
      <c r="B4">
        <v>1</v>
      </c>
      <c r="C4">
        <v>4</v>
      </c>
      <c r="D4">
        <v>4</v>
      </c>
      <c r="E4">
        <v>4</v>
      </c>
      <c r="F4">
        <v>4</v>
      </c>
      <c r="G4">
        <v>4</v>
      </c>
      <c r="H4">
        <v>1</v>
      </c>
      <c r="I4">
        <v>1</v>
      </c>
      <c r="J4">
        <v>1</v>
      </c>
      <c r="K4">
        <v>1</v>
      </c>
      <c r="L4">
        <v>3</v>
      </c>
      <c r="M4">
        <v>1</v>
      </c>
      <c r="N4">
        <v>1</v>
      </c>
      <c r="O4">
        <v>1</v>
      </c>
    </row>
    <row r="5" spans="1:15" x14ac:dyDescent="0.35">
      <c r="B5">
        <v>2</v>
      </c>
      <c r="C5">
        <v>4</v>
      </c>
      <c r="D5">
        <v>4</v>
      </c>
      <c r="E5">
        <v>3</v>
      </c>
      <c r="F5">
        <v>2</v>
      </c>
      <c r="G5">
        <v>2</v>
      </c>
      <c r="H5">
        <v>2</v>
      </c>
      <c r="I5">
        <v>2</v>
      </c>
      <c r="J5">
        <v>3</v>
      </c>
      <c r="K5">
        <v>2</v>
      </c>
      <c r="L5">
        <v>2</v>
      </c>
      <c r="M5">
        <v>1</v>
      </c>
      <c r="N5">
        <v>1</v>
      </c>
      <c r="O5">
        <v>1</v>
      </c>
    </row>
    <row r="6" spans="1:15" x14ac:dyDescent="0.35"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1</v>
      </c>
      <c r="J6">
        <v>1</v>
      </c>
      <c r="K6">
        <v>1</v>
      </c>
      <c r="L6">
        <v>1</v>
      </c>
      <c r="M6">
        <v>1</v>
      </c>
      <c r="N6">
        <v>2</v>
      </c>
      <c r="O6">
        <v>2</v>
      </c>
    </row>
    <row r="7" spans="1:15" x14ac:dyDescent="0.35">
      <c r="B7">
        <v>1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2</v>
      </c>
      <c r="L7">
        <v>3</v>
      </c>
      <c r="M7">
        <v>3</v>
      </c>
      <c r="N7">
        <v>3</v>
      </c>
      <c r="O7">
        <v>3</v>
      </c>
    </row>
    <row r="8" spans="1:15" x14ac:dyDescent="0.35">
      <c r="A8" s="2" t="s">
        <v>15</v>
      </c>
      <c r="B8">
        <f>AVERAGE(B4:B7)</f>
        <v>1.5</v>
      </c>
      <c r="C8">
        <f t="shared" ref="C8:O8" si="0">AVERAGE(C4:C7)</f>
        <v>3.25</v>
      </c>
      <c r="D8">
        <f t="shared" si="0"/>
        <v>3.25</v>
      </c>
      <c r="E8">
        <f t="shared" si="0"/>
        <v>3</v>
      </c>
      <c r="F8">
        <f t="shared" si="0"/>
        <v>2.75</v>
      </c>
      <c r="G8">
        <f t="shared" si="0"/>
        <v>2.75</v>
      </c>
      <c r="H8">
        <f t="shared" si="0"/>
        <v>2</v>
      </c>
      <c r="I8">
        <f t="shared" si="0"/>
        <v>1.75</v>
      </c>
      <c r="J8">
        <f t="shared" si="0"/>
        <v>2</v>
      </c>
      <c r="K8">
        <f t="shared" si="0"/>
        <v>1.5</v>
      </c>
      <c r="L8">
        <f t="shared" si="0"/>
        <v>2.25</v>
      </c>
      <c r="M8">
        <f t="shared" si="0"/>
        <v>1.5</v>
      </c>
      <c r="N8">
        <f t="shared" si="0"/>
        <v>1.75</v>
      </c>
      <c r="O8">
        <f t="shared" si="0"/>
        <v>1.75</v>
      </c>
    </row>
    <row r="10" spans="1:15" x14ac:dyDescent="0.35">
      <c r="A10" s="2" t="s">
        <v>16</v>
      </c>
    </row>
    <row r="11" spans="1:15" ht="101.5" x14ac:dyDescent="0.35">
      <c r="B11" t="s">
        <v>23</v>
      </c>
      <c r="C11" s="3" t="s">
        <v>24</v>
      </c>
      <c r="D11" t="s">
        <v>25</v>
      </c>
      <c r="E11" s="3" t="s">
        <v>26</v>
      </c>
      <c r="F11" s="3" t="s">
        <v>27</v>
      </c>
      <c r="G11" t="s">
        <v>28</v>
      </c>
      <c r="H11" t="s">
        <v>29</v>
      </c>
      <c r="I11" t="s">
        <v>30</v>
      </c>
      <c r="J11" t="s">
        <v>31</v>
      </c>
      <c r="K11" s="3" t="s">
        <v>32</v>
      </c>
      <c r="L11" t="s">
        <v>33</v>
      </c>
      <c r="M11" s="3" t="s">
        <v>34</v>
      </c>
      <c r="N11" s="3" t="s">
        <v>35</v>
      </c>
      <c r="O11" s="3" t="s">
        <v>36</v>
      </c>
    </row>
    <row r="12" spans="1:15" x14ac:dyDescent="0.35"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3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</row>
    <row r="13" spans="1:15" x14ac:dyDescent="0.35">
      <c r="B13">
        <v>4</v>
      </c>
      <c r="C13">
        <v>5</v>
      </c>
      <c r="D13">
        <v>5</v>
      </c>
      <c r="E13">
        <v>5</v>
      </c>
      <c r="F13">
        <v>5</v>
      </c>
      <c r="G13">
        <v>5</v>
      </c>
      <c r="H13">
        <v>5</v>
      </c>
      <c r="I13">
        <v>4</v>
      </c>
      <c r="J13">
        <v>4</v>
      </c>
      <c r="K13">
        <v>5</v>
      </c>
      <c r="L13">
        <v>5</v>
      </c>
      <c r="M13">
        <v>3</v>
      </c>
      <c r="N13">
        <v>3</v>
      </c>
      <c r="O13">
        <v>4</v>
      </c>
    </row>
    <row r="14" spans="1:15" x14ac:dyDescent="0.35"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2</v>
      </c>
      <c r="K14">
        <v>2</v>
      </c>
      <c r="L14">
        <v>3</v>
      </c>
      <c r="M14">
        <v>3</v>
      </c>
      <c r="N14">
        <v>3</v>
      </c>
      <c r="O14">
        <v>3</v>
      </c>
    </row>
    <row r="15" spans="1:15" x14ac:dyDescent="0.35">
      <c r="B15">
        <v>3</v>
      </c>
      <c r="C15">
        <v>4</v>
      </c>
      <c r="D15">
        <v>3</v>
      </c>
      <c r="E15">
        <v>3</v>
      </c>
      <c r="F15">
        <v>2</v>
      </c>
      <c r="G15">
        <v>3</v>
      </c>
      <c r="H15">
        <v>3</v>
      </c>
      <c r="I15">
        <v>3</v>
      </c>
      <c r="J15">
        <v>3</v>
      </c>
      <c r="K15">
        <v>2</v>
      </c>
      <c r="L15">
        <v>2</v>
      </c>
      <c r="M15">
        <v>2</v>
      </c>
      <c r="N15">
        <v>2</v>
      </c>
      <c r="O15">
        <v>2</v>
      </c>
    </row>
    <row r="16" spans="1:15" x14ac:dyDescent="0.35">
      <c r="A16" s="2" t="s">
        <v>15</v>
      </c>
      <c r="B16">
        <f>AVERAGE(B12:B15)</f>
        <v>3.5</v>
      </c>
      <c r="C16">
        <f t="shared" ref="C16:O16" si="1">AVERAGE(C12:C15)</f>
        <v>4</v>
      </c>
      <c r="D16">
        <f t="shared" si="1"/>
        <v>3.75</v>
      </c>
      <c r="E16">
        <f t="shared" si="1"/>
        <v>3.75</v>
      </c>
      <c r="F16">
        <f t="shared" si="1"/>
        <v>3.5</v>
      </c>
      <c r="G16">
        <f t="shared" si="1"/>
        <v>3.75</v>
      </c>
      <c r="H16">
        <f t="shared" si="1"/>
        <v>3.5</v>
      </c>
      <c r="I16">
        <f t="shared" si="1"/>
        <v>3.5</v>
      </c>
      <c r="J16">
        <f t="shared" si="1"/>
        <v>3.25</v>
      </c>
      <c r="K16">
        <f t="shared" si="1"/>
        <v>3.25</v>
      </c>
      <c r="L16">
        <f t="shared" si="1"/>
        <v>3.5</v>
      </c>
      <c r="M16">
        <f t="shared" si="1"/>
        <v>3</v>
      </c>
      <c r="N16">
        <f t="shared" si="1"/>
        <v>3</v>
      </c>
      <c r="O16">
        <f t="shared" si="1"/>
        <v>3.25</v>
      </c>
    </row>
    <row r="18" spans="1:15" x14ac:dyDescent="0.35">
      <c r="A18" s="2" t="s">
        <v>21</v>
      </c>
      <c r="B18">
        <f>B16-B8</f>
        <v>2</v>
      </c>
      <c r="C18">
        <f t="shared" ref="C18:O18" si="2">C16-C8</f>
        <v>0.75</v>
      </c>
      <c r="D18">
        <f t="shared" si="2"/>
        <v>0.5</v>
      </c>
      <c r="E18">
        <f t="shared" si="2"/>
        <v>0.75</v>
      </c>
      <c r="F18">
        <f t="shared" si="2"/>
        <v>0.75</v>
      </c>
      <c r="G18">
        <f t="shared" si="2"/>
        <v>1</v>
      </c>
      <c r="H18">
        <f t="shared" si="2"/>
        <v>1.5</v>
      </c>
      <c r="I18">
        <f t="shared" si="2"/>
        <v>1.75</v>
      </c>
      <c r="J18">
        <f t="shared" si="2"/>
        <v>1.25</v>
      </c>
      <c r="K18">
        <f t="shared" si="2"/>
        <v>1.75</v>
      </c>
      <c r="L18">
        <f t="shared" si="2"/>
        <v>1.25</v>
      </c>
      <c r="M18">
        <f t="shared" si="2"/>
        <v>1.5</v>
      </c>
      <c r="N18">
        <f t="shared" si="2"/>
        <v>1.25</v>
      </c>
      <c r="O18">
        <f t="shared" si="2"/>
        <v>1.5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2F4B-3FD7-4B1B-966A-BA772B6700FC}">
  <dimension ref="A1:O22"/>
  <sheetViews>
    <sheetView tabSelected="1" topLeftCell="A5" workbookViewId="0">
      <selection activeCell="A19" sqref="A19"/>
    </sheetView>
  </sheetViews>
  <sheetFormatPr defaultRowHeight="14.5" x14ac:dyDescent="0.35"/>
  <cols>
    <col min="3" max="3" width="15.7265625" customWidth="1"/>
    <col min="4" max="4" width="16" customWidth="1"/>
    <col min="5" max="5" width="18.54296875" customWidth="1"/>
    <col min="13" max="13" width="22" customWidth="1"/>
    <col min="14" max="14" width="22.36328125" customWidth="1"/>
    <col min="15" max="15" width="28" customWidth="1"/>
  </cols>
  <sheetData>
    <row r="1" spans="1:15" ht="16" x14ac:dyDescent="0.4">
      <c r="A1" s="1" t="s">
        <v>37</v>
      </c>
    </row>
    <row r="2" spans="1:15" x14ac:dyDescent="0.35">
      <c r="A2" s="2" t="s">
        <v>1</v>
      </c>
    </row>
    <row r="4" spans="1:15" ht="116" x14ac:dyDescent="0.35">
      <c r="B4" t="s">
        <v>23</v>
      </c>
      <c r="C4" s="3" t="s">
        <v>24</v>
      </c>
      <c r="D4" t="s">
        <v>25</v>
      </c>
      <c r="E4" s="3" t="s">
        <v>26</v>
      </c>
      <c r="F4" s="3" t="s">
        <v>27</v>
      </c>
      <c r="G4" t="s">
        <v>28</v>
      </c>
      <c r="H4" t="s">
        <v>29</v>
      </c>
      <c r="I4" t="s">
        <v>30</v>
      </c>
      <c r="J4" t="s">
        <v>31</v>
      </c>
      <c r="K4" s="3" t="s">
        <v>32</v>
      </c>
      <c r="L4" t="s">
        <v>33</v>
      </c>
      <c r="M4" s="3" t="s">
        <v>34</v>
      </c>
      <c r="N4" s="3" t="s">
        <v>35</v>
      </c>
      <c r="O4" s="3" t="s">
        <v>36</v>
      </c>
    </row>
    <row r="5" spans="1:15" x14ac:dyDescent="0.35">
      <c r="B5">
        <v>1</v>
      </c>
      <c r="C5">
        <v>1</v>
      </c>
      <c r="D5">
        <v>2</v>
      </c>
      <c r="E5">
        <v>1</v>
      </c>
      <c r="F5">
        <v>2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35">
      <c r="B6">
        <v>1</v>
      </c>
      <c r="C6">
        <v>2</v>
      </c>
      <c r="D6">
        <v>2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35">
      <c r="B7">
        <v>1</v>
      </c>
      <c r="C7">
        <v>4</v>
      </c>
      <c r="D7">
        <v>4</v>
      </c>
      <c r="E7">
        <v>3</v>
      </c>
      <c r="F7">
        <v>3</v>
      </c>
      <c r="G7">
        <v>3</v>
      </c>
      <c r="H7">
        <v>2</v>
      </c>
      <c r="I7">
        <v>1</v>
      </c>
      <c r="J7">
        <v>1</v>
      </c>
      <c r="K7">
        <v>1</v>
      </c>
      <c r="L7">
        <v>2</v>
      </c>
      <c r="M7">
        <v>1</v>
      </c>
      <c r="N7">
        <v>1</v>
      </c>
      <c r="O7">
        <v>2</v>
      </c>
    </row>
    <row r="8" spans="1:15" x14ac:dyDescent="0.35">
      <c r="B8">
        <v>1</v>
      </c>
      <c r="C8">
        <v>2</v>
      </c>
      <c r="D8">
        <v>2</v>
      </c>
      <c r="E8">
        <v>1</v>
      </c>
      <c r="F8">
        <v>3</v>
      </c>
      <c r="G8">
        <v>1</v>
      </c>
      <c r="H8">
        <v>1</v>
      </c>
      <c r="I8">
        <v>1</v>
      </c>
      <c r="J8">
        <v>1</v>
      </c>
      <c r="K8">
        <v>1</v>
      </c>
      <c r="L8">
        <v>2</v>
      </c>
      <c r="M8">
        <v>1</v>
      </c>
      <c r="N8">
        <v>1</v>
      </c>
      <c r="O8">
        <v>1</v>
      </c>
    </row>
    <row r="9" spans="1:15" x14ac:dyDescent="0.35">
      <c r="B9">
        <v>2</v>
      </c>
      <c r="C9">
        <v>2</v>
      </c>
      <c r="D9">
        <v>2</v>
      </c>
      <c r="E9">
        <v>2</v>
      </c>
      <c r="F9">
        <v>2</v>
      </c>
      <c r="G9">
        <v>1</v>
      </c>
      <c r="H9">
        <v>1</v>
      </c>
      <c r="I9">
        <v>1</v>
      </c>
      <c r="J9">
        <v>2</v>
      </c>
      <c r="K9">
        <v>2</v>
      </c>
      <c r="L9">
        <v>2</v>
      </c>
      <c r="M9">
        <v>5</v>
      </c>
      <c r="N9">
        <v>5</v>
      </c>
      <c r="O9">
        <v>5</v>
      </c>
    </row>
    <row r="10" spans="1:15" x14ac:dyDescent="0.35">
      <c r="A10" s="2" t="s">
        <v>15</v>
      </c>
      <c r="B10">
        <f>AVERAGE(B5:B9)</f>
        <v>1.2</v>
      </c>
      <c r="C10">
        <f t="shared" ref="C10:O10" si="0">AVERAGE(C5:C9)</f>
        <v>2.2000000000000002</v>
      </c>
      <c r="D10">
        <f t="shared" si="0"/>
        <v>2.4</v>
      </c>
      <c r="E10">
        <f t="shared" si="0"/>
        <v>1.6</v>
      </c>
      <c r="F10">
        <f t="shared" si="0"/>
        <v>2.2000000000000002</v>
      </c>
      <c r="G10">
        <f t="shared" si="0"/>
        <v>1.4</v>
      </c>
      <c r="H10">
        <f t="shared" si="0"/>
        <v>1.2</v>
      </c>
      <c r="I10">
        <f t="shared" si="0"/>
        <v>1</v>
      </c>
      <c r="J10">
        <f t="shared" si="0"/>
        <v>1.2</v>
      </c>
      <c r="K10">
        <f t="shared" si="0"/>
        <v>1.2</v>
      </c>
      <c r="L10">
        <f t="shared" si="0"/>
        <v>1.6</v>
      </c>
      <c r="M10">
        <f t="shared" si="0"/>
        <v>1.8</v>
      </c>
      <c r="N10">
        <f t="shared" si="0"/>
        <v>1.8</v>
      </c>
      <c r="O10">
        <f t="shared" si="0"/>
        <v>2</v>
      </c>
    </row>
    <row r="12" spans="1:15" x14ac:dyDescent="0.35">
      <c r="A12" s="2" t="s">
        <v>16</v>
      </c>
    </row>
    <row r="13" spans="1:15" ht="116" x14ac:dyDescent="0.35">
      <c r="B13" t="s">
        <v>23</v>
      </c>
      <c r="C13" s="3" t="s">
        <v>24</v>
      </c>
      <c r="D13" t="s">
        <v>25</v>
      </c>
      <c r="E13" s="3" t="s">
        <v>26</v>
      </c>
      <c r="F13" s="3" t="s">
        <v>27</v>
      </c>
      <c r="G13" t="s">
        <v>28</v>
      </c>
      <c r="H13" t="s">
        <v>29</v>
      </c>
      <c r="I13" t="s">
        <v>30</v>
      </c>
      <c r="J13" t="s">
        <v>31</v>
      </c>
      <c r="K13" s="3" t="s">
        <v>32</v>
      </c>
      <c r="L13" t="s">
        <v>33</v>
      </c>
      <c r="M13" s="3" t="s">
        <v>34</v>
      </c>
      <c r="N13" s="3" t="s">
        <v>35</v>
      </c>
      <c r="O13" s="3" t="s">
        <v>36</v>
      </c>
    </row>
    <row r="14" spans="1:15" x14ac:dyDescent="0.35"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3</v>
      </c>
      <c r="N14">
        <v>3</v>
      </c>
      <c r="O14">
        <v>3</v>
      </c>
    </row>
    <row r="15" spans="1:15" x14ac:dyDescent="0.35">
      <c r="B15">
        <v>3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3</v>
      </c>
      <c r="L15">
        <v>4</v>
      </c>
      <c r="M15">
        <v>3</v>
      </c>
      <c r="N15">
        <v>3</v>
      </c>
      <c r="O15">
        <v>3</v>
      </c>
    </row>
    <row r="16" spans="1:15" x14ac:dyDescent="0.35">
      <c r="B16">
        <v>5</v>
      </c>
      <c r="C16">
        <v>5</v>
      </c>
      <c r="D16">
        <v>5</v>
      </c>
      <c r="E16">
        <v>5</v>
      </c>
      <c r="F16">
        <v>5</v>
      </c>
      <c r="G16">
        <v>5</v>
      </c>
      <c r="H16">
        <v>4</v>
      </c>
      <c r="I16">
        <v>5</v>
      </c>
      <c r="J16">
        <v>5</v>
      </c>
      <c r="K16">
        <v>5</v>
      </c>
      <c r="L16">
        <v>5</v>
      </c>
      <c r="M16">
        <v>1</v>
      </c>
      <c r="N16">
        <v>1</v>
      </c>
      <c r="O16">
        <v>2</v>
      </c>
    </row>
    <row r="17" spans="1:15" x14ac:dyDescent="0.35"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2</v>
      </c>
      <c r="N17">
        <v>2</v>
      </c>
      <c r="O17">
        <v>2</v>
      </c>
    </row>
    <row r="18" spans="1:15" x14ac:dyDescent="0.35">
      <c r="B18">
        <v>3</v>
      </c>
      <c r="C18">
        <v>3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5</v>
      </c>
      <c r="N18">
        <v>5</v>
      </c>
      <c r="O18">
        <v>5</v>
      </c>
    </row>
    <row r="19" spans="1:15" x14ac:dyDescent="0.35">
      <c r="A19" s="2" t="s">
        <v>15</v>
      </c>
      <c r="B19">
        <f>AVERAGE(B14:B18)</f>
        <v>3.8</v>
      </c>
      <c r="C19">
        <f t="shared" ref="C19:O19" si="1">AVERAGE(C14:C18)</f>
        <v>4</v>
      </c>
      <c r="D19">
        <f t="shared" si="1"/>
        <v>4</v>
      </c>
      <c r="E19">
        <f t="shared" si="1"/>
        <v>4</v>
      </c>
      <c r="F19">
        <f t="shared" si="1"/>
        <v>4</v>
      </c>
      <c r="G19">
        <f t="shared" si="1"/>
        <v>4</v>
      </c>
      <c r="H19">
        <f t="shared" si="1"/>
        <v>3.8</v>
      </c>
      <c r="I19">
        <f t="shared" si="1"/>
        <v>4</v>
      </c>
      <c r="J19">
        <f t="shared" si="1"/>
        <v>4</v>
      </c>
      <c r="K19">
        <f t="shared" si="1"/>
        <v>3.8</v>
      </c>
      <c r="L19">
        <f t="shared" si="1"/>
        <v>4</v>
      </c>
      <c r="M19">
        <f t="shared" si="1"/>
        <v>2.8</v>
      </c>
      <c r="N19">
        <f t="shared" si="1"/>
        <v>2.8</v>
      </c>
      <c r="O19">
        <f t="shared" si="1"/>
        <v>3</v>
      </c>
    </row>
    <row r="22" spans="1:15" x14ac:dyDescent="0.35">
      <c r="A22" t="s">
        <v>21</v>
      </c>
      <c r="B22">
        <f>B19-B10</f>
        <v>2.5999999999999996</v>
      </c>
      <c r="C22">
        <f t="shared" ref="C22:O22" si="2">C19-C10</f>
        <v>1.7999999999999998</v>
      </c>
      <c r="D22">
        <f t="shared" si="2"/>
        <v>1.6</v>
      </c>
      <c r="E22">
        <f t="shared" si="2"/>
        <v>2.4</v>
      </c>
      <c r="F22">
        <f t="shared" si="2"/>
        <v>1.7999999999999998</v>
      </c>
      <c r="G22">
        <f t="shared" si="2"/>
        <v>2.6</v>
      </c>
      <c r="H22">
        <f t="shared" si="2"/>
        <v>2.5999999999999996</v>
      </c>
      <c r="I22">
        <f t="shared" si="2"/>
        <v>3</v>
      </c>
      <c r="J22">
        <f t="shared" si="2"/>
        <v>2.8</v>
      </c>
      <c r="K22">
        <f t="shared" si="2"/>
        <v>2.5999999999999996</v>
      </c>
      <c r="L22">
        <f t="shared" si="2"/>
        <v>2.4</v>
      </c>
      <c r="M22">
        <f t="shared" si="2"/>
        <v>0.99999999999999978</v>
      </c>
      <c r="N22">
        <f t="shared" si="2"/>
        <v>0.99999999999999978</v>
      </c>
      <c r="O22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Smith</dc:creator>
  <cp:lastModifiedBy>Mary Smith</cp:lastModifiedBy>
  <dcterms:created xsi:type="dcterms:W3CDTF">2026-08-03T21:36:38Z</dcterms:created>
  <dcterms:modified xsi:type="dcterms:W3CDTF">2026-08-03T21:43:58Z</dcterms:modified>
</cp:coreProperties>
</file>