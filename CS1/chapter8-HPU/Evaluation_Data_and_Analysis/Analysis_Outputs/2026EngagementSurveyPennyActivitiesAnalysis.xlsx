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PU 2026\EduPar Documents\Anonymized Data\"/>
    </mc:Choice>
  </mc:AlternateContent>
  <xr:revisionPtr revIDLastSave="0" documentId="8_{2BAB3E5A-2A84-4DA7-A122-90539BE3234F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1_Raw_Data" sheetId="1" r:id="rId1"/>
    <sheet name="2_ASPECT_Mapping" sheetId="2" r:id="rId2"/>
    <sheet name="3_Calculations" sheetId="3" r:id="rId3"/>
    <sheet name="4_Method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C7" i="3"/>
  <c r="E7" i="3" s="1"/>
  <c r="E6" i="3"/>
  <c r="C6" i="3"/>
  <c r="F6" i="3" s="1"/>
  <c r="C5" i="3"/>
  <c r="F5" i="3" s="1"/>
  <c r="C4" i="3"/>
  <c r="F4" i="3" s="1"/>
  <c r="F3" i="3"/>
  <c r="C3" i="3"/>
  <c r="E3" i="3" s="1"/>
  <c r="F2" i="3"/>
  <c r="E2" i="3"/>
  <c r="C2" i="3"/>
  <c r="E5" i="3" l="1"/>
  <c r="E4" i="3"/>
</calcChain>
</file>

<file path=xl/sharedStrings.xml><?xml version="1.0" encoding="utf-8"?>
<sst xmlns="http://schemas.openxmlformats.org/spreadsheetml/2006/main" count="76" uniqueCount="51">
  <si>
    <t>My knowledge in Parallel and Distributed Computing (PDC) before the activities.</t>
  </si>
  <si>
    <t>Explaining the material to my group improved my understanding of it.</t>
  </si>
  <si>
    <t>Having the material explained to me by my group members improved my understanding of the material.</t>
  </si>
  <si>
    <t>Group discussion during the Penny activity contributed to my understanding of parallel computing fundamentals.</t>
  </si>
  <si>
    <t>I had fun during today's Penny activity.</t>
  </si>
  <si>
    <t>Overall, the other members of my group made valuable contributions during the Penny activity.</t>
  </si>
  <si>
    <t>I would prefer to take a class that includes this group activity over one that does not include this Penny group activity.</t>
  </si>
  <si>
    <t>I am confident in my understanding of the material presented during today's Penny activity.</t>
  </si>
  <si>
    <t>The Penny activity increased my understanding of the fundamentals of parallel computing.</t>
  </si>
  <si>
    <t>The Penny activity stimulated my interest in parallel computing.</t>
  </si>
  <si>
    <t>I made a valuable contribution to my group today.</t>
  </si>
  <si>
    <t>I was focused during today's Penny activity.</t>
  </si>
  <si>
    <t>I worked hard during today's Penny activity.</t>
  </si>
  <si>
    <t>The instructor's enthusiasm made me more interested in the Penny activity.</t>
  </si>
  <si>
    <t>The instructor put a good deal of effort into my learning for today's class.</t>
  </si>
  <si>
    <t>The instructor seemed prepared for the Penny activity.</t>
  </si>
  <si>
    <t>The instructor and/or TAs were available to answer questions during the Penny activity.</t>
  </si>
  <si>
    <t>The plugged-in coding activity helped me understand PDC concepts.</t>
  </si>
  <si>
    <t>Category</t>
  </si>
  <si>
    <t>Question</t>
  </si>
  <si>
    <t>Prior Knowledge (Added Category)</t>
  </si>
  <si>
    <t>Value of the Group Activity (ASPECT)</t>
  </si>
  <si>
    <t>Personal Effort (ASPECT)</t>
  </si>
  <si>
    <t>Instructor Contribution (ASPECT)</t>
  </si>
  <si>
    <t>Plugged-in Activity Effectiveness (Added Category)</t>
  </si>
  <si>
    <t>Questions</t>
  </si>
  <si>
    <t>Total Score</t>
  </si>
  <si>
    <t>Students</t>
  </si>
  <si>
    <t>Calculation</t>
  </si>
  <si>
    <t>Mean</t>
  </si>
  <si>
    <t>Prior Knowledge</t>
  </si>
  <si>
    <t>Value of the Group Activity</t>
  </si>
  <si>
    <t>Personal Effort</t>
  </si>
  <si>
    <t>Instructor Contribution</t>
  </si>
  <si>
    <t>Plugged-in Activity Effectiveness</t>
  </si>
  <si>
    <t>Overall</t>
  </si>
  <si>
    <t>Excel Formula</t>
  </si>
  <si>
    <t>=SUM('1_Raw_Data'!A2:A7)</t>
  </si>
  <si>
    <t>=SUM('1_Raw_Data'!B2:J7)</t>
  </si>
  <si>
    <t>=SUM('1_Raw_Data'!K2:M7)</t>
  </si>
  <si>
    <t>=SUM('1_Raw_Data'!N2:Q7)</t>
  </si>
  <si>
    <t>=SUM('1_Raw_Data'!R2:R7)</t>
  </si>
  <si>
    <t>Analysis Procedure</t>
  </si>
  <si>
    <t>1. Demographic questions and open-ended responses were excluded from the quantitative category analysis.</t>
  </si>
  <si>
    <t>2. Each quantitative survey item was scored on a five-point Likert scale from 1 to 5.</t>
  </si>
  <si>
    <t>3. The 18 quantitative items were grouped into three adapted ASPECT categories and two study-specific categories.</t>
  </si>
  <si>
    <t>4. Each item mean equals the average of the six student responses.</t>
  </si>
  <si>
    <t>5. Each category mean equals the total of all responses in that category divided by the number of items multiplied by six students.</t>
  </si>
  <si>
    <t>6. The overall mean equals the total of all 18 quantitative responses divided by 18 items multiplied by six students.</t>
  </si>
  <si>
    <t>7. Because every item had six responses, averaging the item means produces the same result as averaging all responses within a category.</t>
  </si>
  <si>
    <t>8. The analysis is descriptive and should be interpreted cautiously because of the small sample size (N=6).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</si>
</sst>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2" fontId="2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workbookViewId="0"/>
  </sheetViews>
  <sheetFormatPr defaultRowHeight="14.5"/>
  <cols>
    <col min="1" max="18" width="22" customWidth="1"/>
  </cols>
  <sheetData>
    <row r="1" spans="1:19" ht="60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"/>
    </row>
    <row r="2" spans="1:19">
      <c r="A2" s="9">
        <v>1</v>
      </c>
      <c r="B2" s="9">
        <v>3</v>
      </c>
      <c r="C2" s="9">
        <v>4</v>
      </c>
      <c r="D2" s="9">
        <v>4</v>
      </c>
      <c r="E2" s="9">
        <v>4</v>
      </c>
      <c r="F2" s="9">
        <v>4</v>
      </c>
      <c r="G2" s="9">
        <v>4</v>
      </c>
      <c r="H2" s="9">
        <v>4</v>
      </c>
      <c r="I2" s="9">
        <v>4</v>
      </c>
      <c r="J2" s="9">
        <v>4</v>
      </c>
      <c r="K2" s="9">
        <v>4</v>
      </c>
      <c r="L2" s="9">
        <v>5</v>
      </c>
      <c r="M2" s="9">
        <v>4</v>
      </c>
      <c r="N2" s="9">
        <v>4</v>
      </c>
      <c r="O2" s="9">
        <v>5</v>
      </c>
      <c r="P2" s="9">
        <v>5</v>
      </c>
      <c r="Q2" s="9">
        <v>5</v>
      </c>
      <c r="R2" s="9">
        <v>4</v>
      </c>
    </row>
    <row r="3" spans="1:19">
      <c r="A3" s="9">
        <v>1</v>
      </c>
      <c r="B3" s="9">
        <v>5</v>
      </c>
      <c r="C3" s="9">
        <v>5</v>
      </c>
      <c r="D3" s="9">
        <v>5</v>
      </c>
      <c r="E3" s="9">
        <v>5</v>
      </c>
      <c r="F3" s="9">
        <v>5</v>
      </c>
      <c r="G3" s="9">
        <v>3</v>
      </c>
      <c r="H3" s="9">
        <v>3</v>
      </c>
      <c r="I3" s="9">
        <v>5</v>
      </c>
      <c r="J3" s="9">
        <v>3</v>
      </c>
      <c r="K3" s="9">
        <v>5</v>
      </c>
      <c r="L3" s="9">
        <v>5</v>
      </c>
      <c r="M3" s="9">
        <v>5</v>
      </c>
      <c r="N3" s="9">
        <v>5</v>
      </c>
      <c r="O3" s="9">
        <v>5</v>
      </c>
      <c r="P3" s="9">
        <v>5</v>
      </c>
      <c r="Q3" s="9">
        <v>5</v>
      </c>
      <c r="R3" s="9">
        <v>3</v>
      </c>
    </row>
    <row r="4" spans="1:19">
      <c r="A4" s="9">
        <v>1</v>
      </c>
      <c r="B4" s="9">
        <v>3</v>
      </c>
      <c r="C4" s="9">
        <v>4</v>
      </c>
      <c r="D4" s="9">
        <v>5</v>
      </c>
      <c r="E4" s="9">
        <v>5</v>
      </c>
      <c r="F4" s="9">
        <v>4</v>
      </c>
      <c r="G4" s="9">
        <v>5</v>
      </c>
      <c r="H4" s="9">
        <v>3</v>
      </c>
      <c r="I4" s="9">
        <v>4</v>
      </c>
      <c r="J4" s="9">
        <v>3</v>
      </c>
      <c r="K4" s="9">
        <v>4</v>
      </c>
      <c r="L4" s="9">
        <v>5</v>
      </c>
      <c r="M4" s="9">
        <v>5</v>
      </c>
      <c r="N4" s="9">
        <v>5</v>
      </c>
      <c r="O4" s="9">
        <v>5</v>
      </c>
      <c r="P4" s="9">
        <v>5</v>
      </c>
      <c r="Q4" s="9">
        <v>4</v>
      </c>
      <c r="R4" s="9">
        <v>3</v>
      </c>
    </row>
    <row r="5" spans="1:19">
      <c r="A5" s="9">
        <v>1</v>
      </c>
      <c r="B5" s="9">
        <v>4</v>
      </c>
      <c r="C5" s="9">
        <v>3</v>
      </c>
      <c r="D5" s="9">
        <v>4</v>
      </c>
      <c r="E5" s="9">
        <v>5</v>
      </c>
      <c r="F5" s="9">
        <v>5</v>
      </c>
      <c r="G5" s="9">
        <v>5</v>
      </c>
      <c r="H5" s="9">
        <v>5</v>
      </c>
      <c r="I5" s="9">
        <v>5</v>
      </c>
      <c r="J5" s="9">
        <v>5</v>
      </c>
      <c r="K5" s="9">
        <v>5</v>
      </c>
      <c r="L5" s="9">
        <v>5</v>
      </c>
      <c r="M5" s="9">
        <v>3</v>
      </c>
      <c r="N5" s="9">
        <v>5</v>
      </c>
      <c r="O5" s="9">
        <v>5</v>
      </c>
      <c r="P5" s="9">
        <v>5</v>
      </c>
      <c r="Q5" s="9">
        <v>5</v>
      </c>
      <c r="R5" s="9">
        <v>5</v>
      </c>
    </row>
    <row r="6" spans="1:19">
      <c r="A6" s="9">
        <v>1</v>
      </c>
      <c r="B6" s="9">
        <v>5</v>
      </c>
      <c r="C6" s="9">
        <v>5</v>
      </c>
      <c r="D6" s="9">
        <v>5</v>
      </c>
      <c r="E6" s="9">
        <v>5</v>
      </c>
      <c r="F6" s="9">
        <v>5</v>
      </c>
      <c r="G6" s="9">
        <v>5</v>
      </c>
      <c r="H6" s="9">
        <v>5</v>
      </c>
      <c r="I6" s="9">
        <v>5</v>
      </c>
      <c r="J6" s="9">
        <v>5</v>
      </c>
      <c r="K6" s="9">
        <v>5</v>
      </c>
      <c r="L6" s="9">
        <v>5</v>
      </c>
      <c r="M6" s="9">
        <v>5</v>
      </c>
      <c r="N6" s="9">
        <v>5</v>
      </c>
      <c r="O6" s="9">
        <v>5</v>
      </c>
      <c r="P6" s="9">
        <v>5</v>
      </c>
      <c r="Q6" s="9">
        <v>5</v>
      </c>
      <c r="R6" s="9">
        <v>5</v>
      </c>
    </row>
    <row r="7" spans="1:19">
      <c r="A7" s="9">
        <v>1</v>
      </c>
      <c r="B7" s="9">
        <v>3</v>
      </c>
      <c r="C7" s="9">
        <v>3</v>
      </c>
      <c r="D7" s="9">
        <v>4</v>
      </c>
      <c r="E7" s="9">
        <v>4</v>
      </c>
      <c r="F7" s="9">
        <v>4</v>
      </c>
      <c r="G7" s="9">
        <v>4</v>
      </c>
      <c r="H7" s="9">
        <v>4</v>
      </c>
      <c r="I7" s="9">
        <v>4</v>
      </c>
      <c r="J7" s="9">
        <v>4</v>
      </c>
      <c r="K7" s="9">
        <v>3</v>
      </c>
      <c r="L7" s="9">
        <v>4</v>
      </c>
      <c r="M7" s="9">
        <v>4</v>
      </c>
      <c r="N7" s="9">
        <v>4</v>
      </c>
      <c r="O7" s="9">
        <v>4</v>
      </c>
      <c r="P7" s="9">
        <v>4</v>
      </c>
      <c r="Q7" s="9">
        <v>3</v>
      </c>
      <c r="R7" s="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5"/>
  <cols>
    <col min="1" max="1" width="36" customWidth="1"/>
    <col min="2" max="2" width="88" customWidth="1"/>
    <col min="5" max="5" width="12.1796875" customWidth="1"/>
    <col min="8" max="8" width="11.1796875" customWidth="1"/>
  </cols>
  <sheetData>
    <row r="1" spans="1:2">
      <c r="A1" s="2" t="s">
        <v>18</v>
      </c>
      <c r="B1" s="2" t="s">
        <v>19</v>
      </c>
    </row>
    <row r="2" spans="1:2">
      <c r="A2" s="7" t="s">
        <v>20</v>
      </c>
      <c r="B2" s="5" t="s">
        <v>0</v>
      </c>
    </row>
    <row r="3" spans="1:2">
      <c r="A3" s="5" t="s">
        <v>21</v>
      </c>
      <c r="B3" s="5" t="s">
        <v>1</v>
      </c>
    </row>
    <row r="4" spans="1:2" ht="29">
      <c r="A4" s="5"/>
      <c r="B4" s="5" t="s">
        <v>2</v>
      </c>
    </row>
    <row r="5" spans="1:2" ht="29">
      <c r="A5" s="5"/>
      <c r="B5" s="5" t="s">
        <v>3</v>
      </c>
    </row>
    <row r="6" spans="1:2">
      <c r="A6" s="5"/>
      <c r="B6" s="5" t="s">
        <v>4</v>
      </c>
    </row>
    <row r="7" spans="1:2">
      <c r="A7" s="5"/>
      <c r="B7" s="5" t="s">
        <v>5</v>
      </c>
    </row>
    <row r="8" spans="1:2" ht="29">
      <c r="A8" s="5"/>
      <c r="B8" s="5" t="s">
        <v>6</v>
      </c>
    </row>
    <row r="9" spans="1:2">
      <c r="A9" s="5"/>
      <c r="B9" s="5" t="s">
        <v>7</v>
      </c>
    </row>
    <row r="10" spans="1:2">
      <c r="A10" s="5"/>
      <c r="B10" s="5" t="s">
        <v>8</v>
      </c>
    </row>
    <row r="11" spans="1:2">
      <c r="A11" s="7"/>
      <c r="B11" s="5" t="s">
        <v>9</v>
      </c>
    </row>
    <row r="12" spans="1:2">
      <c r="A12" s="5" t="s">
        <v>22</v>
      </c>
      <c r="B12" s="5" t="s">
        <v>10</v>
      </c>
    </row>
    <row r="13" spans="1:2">
      <c r="A13" s="5"/>
      <c r="B13" s="5" t="s">
        <v>11</v>
      </c>
    </row>
    <row r="14" spans="1:2">
      <c r="A14" s="7"/>
      <c r="B14" s="5" t="s">
        <v>12</v>
      </c>
    </row>
    <row r="15" spans="1:2">
      <c r="A15" s="5" t="s">
        <v>23</v>
      </c>
      <c r="B15" s="5" t="s">
        <v>13</v>
      </c>
    </row>
    <row r="16" spans="1:2">
      <c r="A16" s="5"/>
      <c r="B16" s="5" t="s">
        <v>14</v>
      </c>
    </row>
    <row r="17" spans="1:2">
      <c r="A17" s="5"/>
      <c r="B17" s="5" t="s">
        <v>15</v>
      </c>
    </row>
    <row r="18" spans="1:2">
      <c r="A18" s="7"/>
      <c r="B18" s="5" t="s">
        <v>16</v>
      </c>
    </row>
    <row r="19" spans="1:2" ht="29">
      <c r="A19" s="5" t="s">
        <v>24</v>
      </c>
      <c r="B19" s="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workbookViewId="0"/>
  </sheetViews>
  <sheetFormatPr defaultRowHeight="14.5"/>
  <cols>
    <col min="1" max="1" width="40" customWidth="1"/>
    <col min="2" max="2" width="13" customWidth="1"/>
    <col min="3" max="4" width="14" customWidth="1"/>
    <col min="5" max="5" width="24" customWidth="1"/>
    <col min="6" max="6" width="12" customWidth="1"/>
  </cols>
  <sheetData>
    <row r="1" spans="1:17">
      <c r="A1" s="2" t="s">
        <v>18</v>
      </c>
      <c r="B1" s="4" t="s">
        <v>25</v>
      </c>
      <c r="C1" s="4" t="s">
        <v>26</v>
      </c>
      <c r="D1" s="4" t="s">
        <v>27</v>
      </c>
      <c r="E1" s="2" t="s">
        <v>28</v>
      </c>
      <c r="F1" s="4" t="s">
        <v>29</v>
      </c>
    </row>
    <row r="2" spans="1:17">
      <c r="A2" s="5" t="s">
        <v>30</v>
      </c>
      <c r="B2" s="3">
        <v>1</v>
      </c>
      <c r="C2" s="3">
        <f>SUM('1_Raw_Data'!A2:A7)</f>
        <v>6</v>
      </c>
      <c r="D2" s="3">
        <v>6</v>
      </c>
      <c r="E2" s="5" t="str">
        <f t="shared" ref="E2:E7" si="0">C2&amp;" ÷ ("&amp;B2&amp;" × "&amp;D2&amp;")"</f>
        <v>6 ÷ (1 × 6)</v>
      </c>
      <c r="F2" s="10">
        <f t="shared" ref="F2:F7" si="1">C2/(B2*D2)</f>
        <v>1</v>
      </c>
    </row>
    <row r="3" spans="1:17">
      <c r="A3" s="5" t="s">
        <v>31</v>
      </c>
      <c r="B3" s="3">
        <v>9</v>
      </c>
      <c r="C3" s="3">
        <f>SUM('1_Raw_Data'!B2:J7)</f>
        <v>230</v>
      </c>
      <c r="D3" s="3">
        <v>6</v>
      </c>
      <c r="E3" s="5" t="str">
        <f t="shared" si="0"/>
        <v>230 ÷ (9 × 6)</v>
      </c>
      <c r="F3" s="10">
        <f t="shared" si="1"/>
        <v>4.2592592592592595</v>
      </c>
    </row>
    <row r="4" spans="1:17">
      <c r="A4" s="5" t="s">
        <v>32</v>
      </c>
      <c r="B4" s="3">
        <v>3</v>
      </c>
      <c r="C4" s="3">
        <f>SUM('1_Raw_Data'!K2:M7)</f>
        <v>81</v>
      </c>
      <c r="D4" s="3">
        <v>6</v>
      </c>
      <c r="E4" s="5" t="str">
        <f t="shared" si="0"/>
        <v>81 ÷ (3 × 6)</v>
      </c>
      <c r="F4" s="10">
        <f t="shared" si="1"/>
        <v>4.5</v>
      </c>
    </row>
    <row r="5" spans="1:17">
      <c r="A5" s="5" t="s">
        <v>33</v>
      </c>
      <c r="B5" s="3">
        <v>4</v>
      </c>
      <c r="C5" s="3">
        <f>SUM('1_Raw_Data'!N2:Q7)</f>
        <v>113</v>
      </c>
      <c r="D5" s="3">
        <v>6</v>
      </c>
      <c r="E5" s="5" t="str">
        <f t="shared" si="0"/>
        <v>113 ÷ (4 × 6)</v>
      </c>
      <c r="F5" s="10">
        <f t="shared" si="1"/>
        <v>4.708333333333333</v>
      </c>
    </row>
    <row r="6" spans="1:17">
      <c r="A6" s="5" t="s">
        <v>34</v>
      </c>
      <c r="B6" s="3">
        <v>1</v>
      </c>
      <c r="C6" s="3">
        <f>SUM('1_Raw_Data'!R2:R7)</f>
        <v>24</v>
      </c>
      <c r="D6" s="3">
        <v>6</v>
      </c>
      <c r="E6" s="5" t="str">
        <f t="shared" si="0"/>
        <v>24 ÷ (1 × 6)</v>
      </c>
      <c r="F6" s="10">
        <f t="shared" si="1"/>
        <v>4</v>
      </c>
    </row>
    <row r="7" spans="1:17">
      <c r="A7" s="9" t="s">
        <v>35</v>
      </c>
      <c r="B7" s="9">
        <v>18</v>
      </c>
      <c r="C7" s="9">
        <f>SUM('1_Raw_Data'!A2:R7)</f>
        <v>454</v>
      </c>
      <c r="D7" s="9">
        <v>6</v>
      </c>
      <c r="E7" s="9" t="str">
        <f t="shared" si="0"/>
        <v>454 ÷ (18 × 6)</v>
      </c>
      <c r="F7" s="11">
        <f t="shared" si="1"/>
        <v>4.2037037037037033</v>
      </c>
    </row>
    <row r="8" spans="1:17">
      <c r="A8" s="2"/>
      <c r="B8" s="2"/>
      <c r="C8" s="9"/>
      <c r="D8" s="9"/>
      <c r="E8" s="9"/>
      <c r="F8" s="9"/>
    </row>
    <row r="9" spans="1:17">
      <c r="A9" s="5" t="s">
        <v>18</v>
      </c>
      <c r="B9" s="6" t="s">
        <v>36</v>
      </c>
      <c r="C9" s="8"/>
      <c r="D9" s="6"/>
      <c r="E9" s="9"/>
      <c r="F9" s="9"/>
      <c r="L9" s="2"/>
      <c r="M9" s="4"/>
      <c r="N9" s="4"/>
      <c r="O9" s="4"/>
      <c r="P9" s="2"/>
      <c r="Q9" s="4"/>
    </row>
    <row r="10" spans="1:17" ht="25">
      <c r="A10" s="5" t="s">
        <v>30</v>
      </c>
      <c r="B10" s="6" t="s">
        <v>37</v>
      </c>
      <c r="C10" s="8"/>
      <c r="D10" s="9"/>
      <c r="E10" s="9"/>
      <c r="F10" s="9"/>
      <c r="L10" s="5"/>
      <c r="M10" s="3"/>
      <c r="N10" s="4"/>
      <c r="O10" s="3"/>
      <c r="P10" s="5"/>
      <c r="Q10" s="4"/>
    </row>
    <row r="11" spans="1:17" ht="25">
      <c r="A11" s="5" t="s">
        <v>31</v>
      </c>
      <c r="B11" s="6" t="s">
        <v>38</v>
      </c>
      <c r="C11" s="8"/>
      <c r="D11" s="9"/>
      <c r="E11" s="9"/>
      <c r="F11" s="9"/>
      <c r="L11" s="5"/>
      <c r="M11" s="3"/>
      <c r="N11" s="4"/>
      <c r="O11" s="3"/>
      <c r="P11" s="5"/>
      <c r="Q11" s="4"/>
    </row>
    <row r="12" spans="1:17" ht="25">
      <c r="A12" s="5" t="s">
        <v>32</v>
      </c>
      <c r="B12" s="6" t="s">
        <v>39</v>
      </c>
      <c r="C12" s="8"/>
      <c r="D12" s="9"/>
      <c r="E12" s="9"/>
      <c r="F12" s="9"/>
      <c r="L12" s="5"/>
      <c r="M12" s="3"/>
      <c r="N12" s="4"/>
      <c r="O12" s="3"/>
      <c r="P12" s="5"/>
      <c r="Q12" s="4"/>
    </row>
    <row r="13" spans="1:17" ht="29">
      <c r="A13" s="9" t="s">
        <v>33</v>
      </c>
      <c r="B13" s="9" t="s">
        <v>40</v>
      </c>
      <c r="C13" s="9"/>
      <c r="D13" s="9"/>
      <c r="E13" s="9"/>
      <c r="F13" s="9"/>
      <c r="L13" s="5"/>
      <c r="M13" s="3"/>
      <c r="N13" s="4"/>
      <c r="O13" s="3"/>
      <c r="P13" s="5"/>
      <c r="Q13" s="4"/>
    </row>
    <row r="14" spans="1:17" ht="29">
      <c r="A14" s="9" t="s">
        <v>34</v>
      </c>
      <c r="B14" s="9" t="s">
        <v>41</v>
      </c>
      <c r="C14" s="9"/>
      <c r="D14" s="9"/>
      <c r="E14" s="9"/>
      <c r="F14" s="9"/>
      <c r="L14" s="7"/>
      <c r="M14" s="4"/>
      <c r="N14" s="4"/>
      <c r="O14" s="4"/>
      <c r="P14" s="5"/>
      <c r="Q1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tabSelected="1" workbookViewId="0"/>
  </sheetViews>
  <sheetFormatPr defaultRowHeight="14.5"/>
  <cols>
    <col min="1" max="1" width="115" customWidth="1"/>
  </cols>
  <sheetData>
    <row r="1" spans="1:1">
      <c r="A1" s="12" t="s">
        <v>42</v>
      </c>
    </row>
    <row r="2" spans="1:1">
      <c r="A2" s="9" t="s">
        <v>43</v>
      </c>
    </row>
    <row r="3" spans="1:1">
      <c r="A3" s="9" t="s">
        <v>44</v>
      </c>
    </row>
    <row r="4" spans="1:1">
      <c r="A4" s="9" t="s">
        <v>45</v>
      </c>
    </row>
    <row r="5" spans="1:1">
      <c r="A5" s="9" t="s">
        <v>46</v>
      </c>
    </row>
    <row r="6" spans="1:1">
      <c r="A6" s="9" t="s">
        <v>47</v>
      </c>
    </row>
    <row r="7" spans="1:1">
      <c r="A7" s="9" t="s">
        <v>48</v>
      </c>
    </row>
    <row r="8" spans="1:1" ht="29">
      <c r="A8" s="9" t="s">
        <v>49</v>
      </c>
    </row>
    <row r="9" spans="1:1">
      <c r="A9" s="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1_Raw_Data</vt:lpstr>
      <vt:lpstr>2_ASPECT_Mapping</vt:lpstr>
      <vt:lpstr>3_Calculations</vt:lpstr>
      <vt:lpstr>4_Methodology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Smith</dc:creator>
  <cp:lastModifiedBy>Mary Smith</cp:lastModifiedBy>
  <dcterms:created xsi:type="dcterms:W3CDTF">2026-08-03T21:31:46Z</dcterms:created>
  <dcterms:modified xsi:type="dcterms:W3CDTF">2026-08-03T21:31:46Z</dcterms:modified>
</cp:coreProperties>
</file>