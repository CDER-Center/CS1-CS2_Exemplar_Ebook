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HPU 2026\EduPar Documents\Anonymized Data\"/>
    </mc:Choice>
  </mc:AlternateContent>
  <xr:revisionPtr revIDLastSave="0" documentId="8_{1DBAB9EF-61E0-4E98-91C9-DECD08D8EA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_Raw_Data" sheetId="1" r:id="rId1"/>
    <sheet name="2_ASPECT_Mapping" sheetId="2" r:id="rId2"/>
    <sheet name="3_Calculations" sheetId="3" r:id="rId3"/>
    <sheet name="4_Methodolog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G2" i="2"/>
  <c r="D2" i="2"/>
  <c r="F6" i="3"/>
  <c r="D6" i="3"/>
  <c r="I5" i="3"/>
  <c r="H5" i="3"/>
  <c r="G5" i="3"/>
  <c r="F5" i="3"/>
  <c r="D5" i="3" s="1"/>
  <c r="H4" i="3"/>
  <c r="G4" i="3"/>
  <c r="F4" i="3"/>
  <c r="D4" i="3"/>
  <c r="N3" i="3"/>
  <c r="M3" i="3"/>
  <c r="L3" i="3"/>
  <c r="K3" i="3"/>
  <c r="J3" i="3"/>
  <c r="I3" i="3"/>
  <c r="H3" i="3"/>
  <c r="G3" i="3"/>
  <c r="D3" i="3" s="1"/>
  <c r="F3" i="3"/>
  <c r="F2" i="3"/>
  <c r="D2" i="3" s="1"/>
  <c r="D7" i="3" l="1"/>
</calcChain>
</file>

<file path=xl/sharedStrings.xml><?xml version="1.0" encoding="utf-8"?>
<sst xmlns="http://schemas.openxmlformats.org/spreadsheetml/2006/main" count="83" uniqueCount="39">
  <si>
    <t>Participant</t>
  </si>
  <si>
    <t>Prior</t>
  </si>
  <si>
    <t>Explain</t>
  </si>
  <si>
    <t>Instr Enth.</t>
  </si>
  <si>
    <t>Explained</t>
  </si>
  <si>
    <t>Discussion</t>
  </si>
  <si>
    <t>Instr Effort</t>
  </si>
  <si>
    <t>Fun</t>
  </si>
  <si>
    <t>Group Contrib</t>
  </si>
  <si>
    <t>Prepared</t>
  </si>
  <si>
    <t>Prefer</t>
  </si>
  <si>
    <t>Confident</t>
  </si>
  <si>
    <t>My Contrib</t>
  </si>
  <si>
    <t>Available</t>
  </si>
  <si>
    <t>Increased</t>
  </si>
  <si>
    <t>Focused</t>
  </si>
  <si>
    <t>Interest</t>
  </si>
  <si>
    <t>Worked Hard</t>
  </si>
  <si>
    <t>Plugged</t>
  </si>
  <si>
    <t>Question</t>
  </si>
  <si>
    <t>Category</t>
  </si>
  <si>
    <t>Prior Knowledge</t>
  </si>
  <si>
    <t>Value of Group Activity</t>
  </si>
  <si>
    <t>Instructor Contribution</t>
  </si>
  <si>
    <t>Personal Effort</t>
  </si>
  <si>
    <t>Plugged-in Activity Effectiveness</t>
  </si>
  <si>
    <t>Items</t>
  </si>
  <si>
    <t>Formula</t>
  </si>
  <si>
    <t>Mean</t>
  </si>
  <si>
    <t>Average of item means</t>
  </si>
  <si>
    <t>Overall</t>
  </si>
  <si>
    <t>Weighted by number of items</t>
  </si>
  <si>
    <t>Analysis Procedure</t>
  </si>
  <si>
    <t>1. Demographic and open-ended responses were excluded from quantitative analysis.</t>
  </si>
  <si>
    <t>2. Each Likert item was scored from 1 to 5.</t>
  </si>
  <si>
    <t>3. Mean for each survey item = average of the six student responses.</t>
  </si>
  <si>
    <t>4. Category mean = average of the item means within each ASPECT category.</t>
  </si>
  <si>
    <t>5. Overall mean = weighted average of category means using the number of items per category (18 total items).</t>
  </si>
  <si>
    <t>6. Because every question had six responses, averaging item means equals averaging all responses within a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</si>
</sst>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>
        <v>1</v>
      </c>
      <c r="C2">
        <v>3</v>
      </c>
      <c r="D2">
        <v>4</v>
      </c>
      <c r="E2">
        <v>4</v>
      </c>
      <c r="F2">
        <v>4</v>
      </c>
      <c r="G2">
        <v>5</v>
      </c>
      <c r="H2">
        <v>4</v>
      </c>
      <c r="I2">
        <v>4</v>
      </c>
      <c r="J2">
        <v>5</v>
      </c>
      <c r="K2">
        <v>4</v>
      </c>
      <c r="L2">
        <v>4</v>
      </c>
      <c r="M2">
        <v>4</v>
      </c>
      <c r="N2">
        <v>5</v>
      </c>
      <c r="O2">
        <v>4</v>
      </c>
      <c r="P2">
        <v>5</v>
      </c>
      <c r="Q2">
        <v>4</v>
      </c>
      <c r="R2">
        <v>4</v>
      </c>
      <c r="S2">
        <v>4</v>
      </c>
    </row>
    <row r="3" spans="1:19" x14ac:dyDescent="0.35">
      <c r="A3">
        <v>2</v>
      </c>
      <c r="B3">
        <v>1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3</v>
      </c>
      <c r="L3">
        <v>3</v>
      </c>
      <c r="M3">
        <v>5</v>
      </c>
      <c r="N3">
        <v>5</v>
      </c>
      <c r="O3">
        <v>5</v>
      </c>
      <c r="P3">
        <v>5</v>
      </c>
      <c r="Q3">
        <v>3</v>
      </c>
      <c r="R3">
        <v>5</v>
      </c>
      <c r="S3">
        <v>3</v>
      </c>
    </row>
    <row r="4" spans="1:19" x14ac:dyDescent="0.35">
      <c r="A4">
        <v>3</v>
      </c>
      <c r="B4">
        <v>1</v>
      </c>
      <c r="C4">
        <v>3</v>
      </c>
      <c r="D4">
        <v>5</v>
      </c>
      <c r="E4">
        <v>4</v>
      </c>
      <c r="F4">
        <v>5</v>
      </c>
      <c r="G4">
        <v>5</v>
      </c>
      <c r="H4">
        <v>5</v>
      </c>
      <c r="I4">
        <v>4</v>
      </c>
      <c r="J4">
        <v>5</v>
      </c>
      <c r="K4">
        <v>5</v>
      </c>
      <c r="L4">
        <v>3</v>
      </c>
      <c r="M4">
        <v>4</v>
      </c>
      <c r="N4">
        <v>4</v>
      </c>
      <c r="O4">
        <v>4</v>
      </c>
      <c r="P4">
        <v>5</v>
      </c>
      <c r="Q4">
        <v>3</v>
      </c>
      <c r="R4">
        <v>5</v>
      </c>
      <c r="S4">
        <v>3</v>
      </c>
    </row>
    <row r="5" spans="1:19" x14ac:dyDescent="0.35">
      <c r="A5">
        <v>4</v>
      </c>
      <c r="B5">
        <v>1</v>
      </c>
      <c r="C5">
        <v>4</v>
      </c>
      <c r="D5">
        <v>5</v>
      </c>
      <c r="E5">
        <v>3</v>
      </c>
      <c r="F5">
        <v>4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3</v>
      </c>
      <c r="S5">
        <v>5</v>
      </c>
    </row>
    <row r="6" spans="1:19" x14ac:dyDescent="0.35">
      <c r="A6">
        <v>5</v>
      </c>
      <c r="B6">
        <v>1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</row>
    <row r="7" spans="1:19" x14ac:dyDescent="0.35">
      <c r="A7">
        <v>6</v>
      </c>
      <c r="B7">
        <v>1</v>
      </c>
      <c r="C7">
        <v>3</v>
      </c>
      <c r="D7">
        <v>4</v>
      </c>
      <c r="E7">
        <v>3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3</v>
      </c>
      <c r="N7">
        <v>3</v>
      </c>
      <c r="O7">
        <v>4</v>
      </c>
      <c r="P7">
        <v>4</v>
      </c>
      <c r="Q7">
        <v>4</v>
      </c>
      <c r="R7">
        <v>4</v>
      </c>
      <c r="S7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J2" sqref="J2"/>
    </sheetView>
  </sheetViews>
  <sheetFormatPr defaultRowHeight="14.5" x14ac:dyDescent="0.35"/>
  <cols>
    <col min="1" max="1" width="12.7265625" bestFit="1" customWidth="1"/>
    <col min="2" max="2" width="27.54296875" bestFit="1" customWidth="1"/>
    <col min="5" max="5" width="12.1796875" customWidth="1"/>
    <col min="8" max="8" width="11.1796875" customWidth="1"/>
  </cols>
  <sheetData>
    <row r="1" spans="1:10" x14ac:dyDescent="0.35">
      <c r="A1" s="1" t="s">
        <v>19</v>
      </c>
      <c r="B1" s="1" t="s">
        <v>20</v>
      </c>
      <c r="D1" t="s">
        <v>22</v>
      </c>
      <c r="G1" t="s">
        <v>23</v>
      </c>
      <c r="J1" t="s">
        <v>24</v>
      </c>
    </row>
    <row r="2" spans="1:10" x14ac:dyDescent="0.35">
      <c r="A2" t="s">
        <v>1</v>
      </c>
      <c r="B2" t="s">
        <v>21</v>
      </c>
      <c r="D2">
        <f>COUNTIF($B$2:$B$19,D1)</f>
        <v>9</v>
      </c>
      <c r="G2">
        <f>COUNTIF($B$2:$B$19,G1)</f>
        <v>4</v>
      </c>
      <c r="J2">
        <f>COUNTIF($B$2:$B$19,J1)</f>
        <v>3</v>
      </c>
    </row>
    <row r="3" spans="1:10" x14ac:dyDescent="0.35">
      <c r="A3" t="s">
        <v>2</v>
      </c>
      <c r="B3" t="s">
        <v>22</v>
      </c>
    </row>
    <row r="4" spans="1:10" x14ac:dyDescent="0.35">
      <c r="A4" t="s">
        <v>3</v>
      </c>
      <c r="B4" t="s">
        <v>23</v>
      </c>
    </row>
    <row r="5" spans="1:10" x14ac:dyDescent="0.35">
      <c r="A5" t="s">
        <v>4</v>
      </c>
      <c r="B5" t="s">
        <v>22</v>
      </c>
    </row>
    <row r="6" spans="1:10" x14ac:dyDescent="0.35">
      <c r="A6" t="s">
        <v>5</v>
      </c>
      <c r="B6" t="s">
        <v>22</v>
      </c>
    </row>
    <row r="7" spans="1:10" x14ac:dyDescent="0.35">
      <c r="A7" t="s">
        <v>6</v>
      </c>
      <c r="B7" t="s">
        <v>23</v>
      </c>
    </row>
    <row r="8" spans="1:10" x14ac:dyDescent="0.35">
      <c r="A8" t="s">
        <v>7</v>
      </c>
      <c r="B8" t="s">
        <v>22</v>
      </c>
    </row>
    <row r="9" spans="1:10" x14ac:dyDescent="0.35">
      <c r="A9" t="s">
        <v>8</v>
      </c>
      <c r="B9" t="s">
        <v>22</v>
      </c>
    </row>
    <row r="10" spans="1:10" x14ac:dyDescent="0.35">
      <c r="A10" t="s">
        <v>9</v>
      </c>
      <c r="B10" t="s">
        <v>23</v>
      </c>
    </row>
    <row r="11" spans="1:10" x14ac:dyDescent="0.35">
      <c r="A11" t="s">
        <v>10</v>
      </c>
      <c r="B11" t="s">
        <v>22</v>
      </c>
    </row>
    <row r="12" spans="1:10" x14ac:dyDescent="0.35">
      <c r="A12" t="s">
        <v>11</v>
      </c>
      <c r="B12" t="s">
        <v>22</v>
      </c>
    </row>
    <row r="13" spans="1:10" x14ac:dyDescent="0.35">
      <c r="A13" t="s">
        <v>12</v>
      </c>
      <c r="B13" t="s">
        <v>24</v>
      </c>
    </row>
    <row r="14" spans="1:10" x14ac:dyDescent="0.35">
      <c r="A14" t="s">
        <v>13</v>
      </c>
      <c r="B14" t="s">
        <v>23</v>
      </c>
    </row>
    <row r="15" spans="1:10" x14ac:dyDescent="0.35">
      <c r="A15" t="s">
        <v>14</v>
      </c>
      <c r="B15" t="s">
        <v>22</v>
      </c>
    </row>
    <row r="16" spans="1:10" x14ac:dyDescent="0.35">
      <c r="A16" t="s">
        <v>15</v>
      </c>
      <c r="B16" t="s">
        <v>24</v>
      </c>
    </row>
    <row r="17" spans="1:2" x14ac:dyDescent="0.35">
      <c r="A17" t="s">
        <v>16</v>
      </c>
      <c r="B17" t="s">
        <v>22</v>
      </c>
    </row>
    <row r="18" spans="1:2" x14ac:dyDescent="0.35">
      <c r="A18" t="s">
        <v>17</v>
      </c>
      <c r="B18" t="s">
        <v>24</v>
      </c>
    </row>
    <row r="19" spans="1:2" x14ac:dyDescent="0.35">
      <c r="A19" t="s">
        <v>18</v>
      </c>
      <c r="B19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workbookViewId="0">
      <selection activeCell="G10" sqref="G10"/>
    </sheetView>
  </sheetViews>
  <sheetFormatPr defaultRowHeight="14.5" x14ac:dyDescent="0.35"/>
  <cols>
    <col min="1" max="1" width="17.7265625" customWidth="1"/>
  </cols>
  <sheetData>
    <row r="1" spans="1:14" x14ac:dyDescent="0.35">
      <c r="A1" s="1" t="s">
        <v>20</v>
      </c>
      <c r="B1" s="1" t="s">
        <v>26</v>
      </c>
      <c r="C1" s="1" t="s">
        <v>27</v>
      </c>
      <c r="D1" s="1" t="s">
        <v>28</v>
      </c>
    </row>
    <row r="2" spans="1:14" x14ac:dyDescent="0.35">
      <c r="A2" t="s">
        <v>21</v>
      </c>
      <c r="B2">
        <v>1</v>
      </c>
      <c r="C2" t="s">
        <v>29</v>
      </c>
      <c r="D2">
        <f>ROUND(AVERAGE(F2),2)</f>
        <v>1</v>
      </c>
      <c r="F2">
        <f>AVERAGE('1_Raw_Data'!B2:B7)</f>
        <v>1</v>
      </c>
    </row>
    <row r="3" spans="1:14" x14ac:dyDescent="0.35">
      <c r="A3" t="s">
        <v>22</v>
      </c>
      <c r="B3">
        <v>9</v>
      </c>
      <c r="C3" t="s">
        <v>29</v>
      </c>
      <c r="D3">
        <f>ROUND(AVERAGE(F3,G3,H3,I3,J3,K3,L3,M3,N3),2)</f>
        <v>4.26</v>
      </c>
      <c r="F3">
        <f>AVERAGE('1_Raw_Data'!C2:C7)</f>
        <v>3.8333333333333335</v>
      </c>
      <c r="G3">
        <f>AVERAGE('1_Raw_Data'!E2:E7)</f>
        <v>4</v>
      </c>
      <c r="H3">
        <f>AVERAGE('1_Raw_Data'!F2:F7)</f>
        <v>4.5</v>
      </c>
      <c r="I3">
        <f>AVERAGE('1_Raw_Data'!H2:H7)</f>
        <v>4.666666666666667</v>
      </c>
      <c r="J3">
        <f>AVERAGE('1_Raw_Data'!I2:I7)</f>
        <v>4.5</v>
      </c>
      <c r="K3">
        <f>AVERAGE('1_Raw_Data'!K2:K7)</f>
        <v>4.333333333333333</v>
      </c>
      <c r="L3">
        <f>AVERAGE('1_Raw_Data'!L2:L7)</f>
        <v>4</v>
      </c>
      <c r="M3">
        <f>AVERAGE('1_Raw_Data'!O2:O7)</f>
        <v>4.5</v>
      </c>
      <c r="N3">
        <f>AVERAGE('1_Raw_Data'!Q2:Q7)</f>
        <v>4</v>
      </c>
    </row>
    <row r="4" spans="1:14" x14ac:dyDescent="0.35">
      <c r="A4" t="s">
        <v>24</v>
      </c>
      <c r="B4">
        <v>3</v>
      </c>
      <c r="C4" t="s">
        <v>29</v>
      </c>
      <c r="D4">
        <f>ROUND(AVERAGE(F4,G4,H4),2)</f>
        <v>4.5</v>
      </c>
      <c r="F4">
        <f>AVERAGE('1_Raw_Data'!M2:M7)</f>
        <v>4.333333333333333</v>
      </c>
      <c r="G4">
        <f>AVERAGE('1_Raw_Data'!P2:P7)</f>
        <v>4.833333333333333</v>
      </c>
      <c r="H4">
        <f>AVERAGE('1_Raw_Data'!R2:R7)</f>
        <v>4.333333333333333</v>
      </c>
    </row>
    <row r="5" spans="1:14" x14ac:dyDescent="0.35">
      <c r="A5" t="s">
        <v>23</v>
      </c>
      <c r="B5">
        <v>4</v>
      </c>
      <c r="C5" t="s">
        <v>29</v>
      </c>
      <c r="D5">
        <f>ROUND(AVERAGE(F5,G5,H5,I5),2)</f>
        <v>4.71</v>
      </c>
      <c r="F5">
        <f>AVERAGE('1_Raw_Data'!D2:D7)</f>
        <v>4.666666666666667</v>
      </c>
      <c r="G5">
        <f>AVERAGE('1_Raw_Data'!G2:G7)</f>
        <v>4.833333333333333</v>
      </c>
      <c r="H5">
        <f>AVERAGE('1_Raw_Data'!J2:J7)</f>
        <v>4.833333333333333</v>
      </c>
      <c r="I5">
        <f>AVERAGE('1_Raw_Data'!N2:N7)</f>
        <v>4.5</v>
      </c>
    </row>
    <row r="6" spans="1:14" x14ac:dyDescent="0.35">
      <c r="A6" t="s">
        <v>25</v>
      </c>
      <c r="B6">
        <v>1</v>
      </c>
      <c r="C6" t="s">
        <v>29</v>
      </c>
      <c r="D6">
        <f>ROUND(AVERAGE(F6),2)</f>
        <v>4</v>
      </c>
      <c r="F6">
        <f>AVERAGE('1_Raw_Data'!S2:S7)</f>
        <v>4</v>
      </c>
    </row>
    <row r="7" spans="1:14" x14ac:dyDescent="0.35">
      <c r="A7" t="s">
        <v>30</v>
      </c>
      <c r="B7">
        <v>18</v>
      </c>
      <c r="C7" t="s">
        <v>31</v>
      </c>
      <c r="D7">
        <f>ROUND(SUMPRODUCT(B2:B6,D2:D6)/SUM(B2:B6),2)</f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RowHeight="14.5" x14ac:dyDescent="0.35"/>
  <sheetData>
    <row r="1" spans="1:1" x14ac:dyDescent="0.35">
      <c r="A1" s="1" t="s">
        <v>32</v>
      </c>
    </row>
    <row r="2" spans="1:1" x14ac:dyDescent="0.35">
      <c r="A2" t="s">
        <v>33</v>
      </c>
    </row>
    <row r="3" spans="1:1" x14ac:dyDescent="0.35">
      <c r="A3" t="s">
        <v>34</v>
      </c>
    </row>
    <row r="4" spans="1:1" x14ac:dyDescent="0.35">
      <c r="A4" t="s">
        <v>35</v>
      </c>
    </row>
    <row r="5" spans="1:1" x14ac:dyDescent="0.35">
      <c r="A5" t="s">
        <v>36</v>
      </c>
    </row>
    <row r="6" spans="1:1" x14ac:dyDescent="0.35">
      <c r="A6" t="s">
        <v>37</v>
      </c>
    </row>
    <row r="7" spans="1:1" x14ac:dyDescent="0.35">
      <c r="A7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1_Raw_Data</vt:lpstr>
      <vt:lpstr>2_ASPECT_Mapping</vt:lpstr>
      <vt:lpstr>3_Calculations</vt:lpstr>
      <vt:lpstr>4_Methodology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Smith</cp:lastModifiedBy>
  <dcterms:created xsi:type="dcterms:W3CDTF">2026-08-03T16:07:55Z</dcterms:created>
  <dcterms:modified xsi:type="dcterms:W3CDTF">2026-08-03T16:16:20Z</dcterms:modified>
</cp:coreProperties>
</file>